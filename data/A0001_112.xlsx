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<sst xmlns="http://schemas.openxmlformats.org/spreadsheetml/2006/main" count="27" uniqueCount="18">
  <si>
    <t>來源</t>
  </si>
  <si>
    <t>目標</t>
  </si>
  <si>
    <t>金額</t>
  </si>
  <si>
    <t>金額(萬元)</t>
  </si>
  <si>
    <t>金額(萬元)(手動)</t>
  </si>
  <si>
    <t>step from</t>
  </si>
  <si>
    <t>step to</t>
  </si>
  <si>
    <t>捐款收入</t>
  </si>
  <si>
    <t>收入</t>
  </si>
  <si>
    <t>利息收入</t>
  </si>
  <si>
    <t>其他收入</t>
  </si>
  <si>
    <t>捐助支出</t>
  </si>
  <si>
    <t>業務費</t>
  </si>
  <si>
    <t>人事費</t>
  </si>
  <si>
    <t>提撥基金</t>
  </si>
  <si>
    <t>辦公費</t>
  </si>
  <si>
    <t>折舊</t>
  </si>
  <si>
    <t>本期餘絀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</si>
</sst>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Microsoft JhengHei"/>
    </font>
    <font>
      <color theme="1"/>
      <name val="Arial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bottom"/>
    </xf>
    <xf borderId="0" fillId="0" fontId="3" numFmtId="3" xfId="0" applyAlignment="1" applyFont="1" applyNumberFormat="1">
      <alignment horizontal="right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readingOrder="0" vertical="bottom"/>
    </xf>
    <xf borderId="0" fillId="2" fontId="3" numFmtId="3" xfId="0" applyAlignment="1" applyFont="1" applyNumberFormat="1">
      <alignment horizontal="right" readingOrder="0" vertical="top"/>
    </xf>
    <xf borderId="0" fillId="2" fontId="2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top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5"/>
    <col customWidth="1" min="7" max="7" width="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>
      <c r="A2" s="2" t="s">
        <v>7</v>
      </c>
      <c r="B2" s="1" t="s">
        <v>8</v>
      </c>
      <c r="C2" s="4">
        <v>3.50597636E8</v>
      </c>
      <c r="D2" s="4">
        <f t="shared" ref="D2:D11" si="1">rounddown(C2,-4)/10000</f>
        <v>35059</v>
      </c>
      <c r="E2" s="4">
        <v>35059.00000000001</v>
      </c>
      <c r="F2" s="5">
        <v>1.0</v>
      </c>
      <c r="G2" s="5">
        <v>2.0</v>
      </c>
    </row>
    <row r="3">
      <c r="A3" s="2" t="s">
        <v>9</v>
      </c>
      <c r="B3" s="1" t="s">
        <v>8</v>
      </c>
      <c r="C3" s="4">
        <v>8253353.0</v>
      </c>
      <c r="D3" s="4">
        <f t="shared" si="1"/>
        <v>825</v>
      </c>
      <c r="E3" s="4">
        <v>825.0000000000001</v>
      </c>
      <c r="F3" s="5">
        <v>1.0</v>
      </c>
      <c r="G3" s="5">
        <v>2.0</v>
      </c>
    </row>
    <row r="4">
      <c r="A4" s="2" t="s">
        <v>10</v>
      </c>
      <c r="B4" s="1" t="s">
        <v>8</v>
      </c>
      <c r="C4" s="4">
        <v>706428.0</v>
      </c>
      <c r="D4" s="4">
        <f t="shared" si="1"/>
        <v>70</v>
      </c>
      <c r="E4" s="4">
        <v>70.00000000000001</v>
      </c>
      <c r="F4" s="5">
        <v>1.0</v>
      </c>
      <c r="G4" s="5">
        <v>2.0</v>
      </c>
    </row>
    <row r="5">
      <c r="A5" s="1" t="s">
        <v>8</v>
      </c>
      <c r="B5" s="6" t="s">
        <v>11</v>
      </c>
      <c r="C5" s="4">
        <v>2.74538811E8</v>
      </c>
      <c r="D5" s="4">
        <f t="shared" si="1"/>
        <v>27453</v>
      </c>
      <c r="E5" s="4">
        <v>27454.0</v>
      </c>
      <c r="F5" s="5">
        <v>2.0</v>
      </c>
      <c r="G5" s="5">
        <v>3.0</v>
      </c>
    </row>
    <row r="6">
      <c r="A6" s="1" t="s">
        <v>8</v>
      </c>
      <c r="B6" s="6" t="s">
        <v>12</v>
      </c>
      <c r="C6" s="4">
        <v>1.9364548E7</v>
      </c>
      <c r="D6" s="4">
        <f t="shared" si="1"/>
        <v>1936</v>
      </c>
      <c r="E6" s="4">
        <v>1936.0</v>
      </c>
      <c r="F6" s="5">
        <v>2.0</v>
      </c>
      <c r="G6" s="5">
        <v>3.0</v>
      </c>
    </row>
    <row r="7">
      <c r="A7" s="1" t="s">
        <v>8</v>
      </c>
      <c r="B7" s="6" t="s">
        <v>13</v>
      </c>
      <c r="C7" s="4">
        <v>1.3393377E7</v>
      </c>
      <c r="D7" s="4">
        <f t="shared" si="1"/>
        <v>1339</v>
      </c>
      <c r="E7" s="4">
        <v>1339.0000000000002</v>
      </c>
      <c r="F7" s="5">
        <v>2.0</v>
      </c>
      <c r="G7" s="5">
        <v>3.0</v>
      </c>
    </row>
    <row r="8">
      <c r="A8" s="1" t="s">
        <v>8</v>
      </c>
      <c r="B8" s="6" t="s">
        <v>14</v>
      </c>
      <c r="C8" s="4">
        <v>1.2382757E7</v>
      </c>
      <c r="D8" s="4">
        <f t="shared" si="1"/>
        <v>1238</v>
      </c>
      <c r="E8" s="4">
        <v>1238.0000000000002</v>
      </c>
      <c r="F8" s="5">
        <v>2.0</v>
      </c>
      <c r="G8" s="5">
        <v>3.0</v>
      </c>
    </row>
    <row r="9">
      <c r="A9" s="1" t="s">
        <v>8</v>
      </c>
      <c r="B9" s="6" t="s">
        <v>15</v>
      </c>
      <c r="C9" s="4">
        <v>5912028.0</v>
      </c>
      <c r="D9" s="4">
        <f t="shared" si="1"/>
        <v>591</v>
      </c>
      <c r="E9" s="4">
        <v>591.0000000000001</v>
      </c>
      <c r="F9" s="5">
        <v>2.0</v>
      </c>
      <c r="G9" s="5">
        <v>3.0</v>
      </c>
    </row>
    <row r="10">
      <c r="A10" s="1" t="s">
        <v>8</v>
      </c>
      <c r="B10" s="6" t="s">
        <v>16</v>
      </c>
      <c r="C10" s="4">
        <v>44369.0</v>
      </c>
      <c r="D10" s="4">
        <f t="shared" si="1"/>
        <v>4</v>
      </c>
      <c r="E10" s="4">
        <v>4.0</v>
      </c>
      <c r="F10" s="5">
        <v>2.0</v>
      </c>
      <c r="G10" s="5">
        <v>3.0</v>
      </c>
    </row>
    <row r="11">
      <c r="A11" s="7" t="s">
        <v>8</v>
      </c>
      <c r="B11" s="8" t="s">
        <v>17</v>
      </c>
      <c r="C11" s="9">
        <v>3.3921527E7</v>
      </c>
      <c r="D11" s="9">
        <f t="shared" si="1"/>
        <v>3392</v>
      </c>
      <c r="E11" s="9">
        <v>3392.0</v>
      </c>
      <c r="F11" s="10">
        <v>2.0</v>
      </c>
      <c r="G11" s="10">
        <v>3.0</v>
      </c>
    </row>
    <row r="12">
      <c r="A12" s="1"/>
      <c r="B12" s="1"/>
      <c r="C12" s="11"/>
      <c r="D12" s="11"/>
      <c r="E12" s="11"/>
      <c r="F12" s="5"/>
      <c r="G12" s="5"/>
    </row>
    <row r="13">
      <c r="A13" s="1"/>
      <c r="B13" s="1"/>
      <c r="C13" s="11"/>
      <c r="D13" s="11"/>
      <c r="E13" s="11"/>
      <c r="F13" s="5"/>
      <c r="G13" s="5"/>
    </row>
    <row r="14">
      <c r="A14" s="1"/>
      <c r="B14" s="1"/>
      <c r="C14" s="11"/>
      <c r="D14" s="11"/>
      <c r="E14" s="11"/>
      <c r="F14" s="5"/>
      <c r="G14" s="5"/>
    </row>
    <row r="15">
      <c r="A15" s="1"/>
      <c r="B15" s="3"/>
      <c r="C15" s="11"/>
      <c r="D15" s="11"/>
      <c r="E15" s="11"/>
      <c r="F15" s="5"/>
      <c r="G15" s="5"/>
    </row>
    <row r="16">
      <c r="A16" s="1"/>
      <c r="B16" s="3"/>
      <c r="C16" s="11"/>
      <c r="D16" s="11"/>
      <c r="E16" s="11"/>
      <c r="F16" s="5"/>
      <c r="G16" s="5"/>
    </row>
    <row r="17">
      <c r="A17" s="1"/>
      <c r="B17" s="3"/>
      <c r="C17" s="12"/>
      <c r="D17" s="12"/>
      <c r="E17" s="12"/>
      <c r="F17" s="5"/>
      <c r="G17" s="5"/>
    </row>
    <row r="18">
      <c r="A18" s="1"/>
      <c r="B18" s="3"/>
      <c r="C18" s="12"/>
      <c r="D18" s="12"/>
      <c r="E18" s="12"/>
      <c r="F18" s="5"/>
      <c r="G18" s="5"/>
    </row>
    <row r="19">
      <c r="A19" s="1"/>
      <c r="B19" s="3"/>
      <c r="C19" s="12"/>
      <c r="D19" s="12"/>
      <c r="E19" s="12"/>
      <c r="F19" s="5"/>
      <c r="G19" s="5"/>
    </row>
  </sheetData>
  <drawing r:id="rId1"/>
</worksheet>
</file>