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主組織" sheetId="1" r:id="rId4"/>
  </sheets>
  <definedNames/>
  <calcPr/>
</workbook>
</file>

<file path=xl/sharedStrings.xml><?xml version="1.0" encoding="utf-8"?>
<sst xmlns="http://schemas.openxmlformats.org/spreadsheetml/2006/main" count="51" uniqueCount="30">
  <si>
    <t>來源</t>
  </si>
  <si>
    <t>目標</t>
  </si>
  <si>
    <t>金額</t>
  </si>
  <si>
    <t>金額（萬元）</t>
  </si>
  <si>
    <t>金額（萬元）（手動調整）</t>
  </si>
  <si>
    <t>step from</t>
  </si>
  <si>
    <t>step to</t>
  </si>
  <si>
    <t>捐款收入</t>
  </si>
  <si>
    <t>收入</t>
  </si>
  <si>
    <t>補助收入</t>
  </si>
  <si>
    <t>利息收入</t>
  </si>
  <si>
    <t>其他收入</t>
  </si>
  <si>
    <t>會員年費收入</t>
  </si>
  <si>
    <t>入會費收入</t>
  </si>
  <si>
    <t>兌換盈益</t>
  </si>
  <si>
    <t>本期短絀</t>
  </si>
  <si>
    <t>業務費</t>
  </si>
  <si>
    <t>人事費</t>
  </si>
  <si>
    <t>推廣費</t>
  </si>
  <si>
    <t>辦公費</t>
  </si>
  <si>
    <t>其他費用</t>
  </si>
  <si>
    <t>絕育-認捐專案</t>
  </si>
  <si>
    <t>絕育補助專案</t>
  </si>
  <si>
    <t>絕育-下鄉專案費</t>
  </si>
  <si>
    <t>絕育-中苗絕育計畫</t>
  </si>
  <si>
    <t>急難救助費</t>
  </si>
  <si>
    <t>絕育-駐紮計畫</t>
  </si>
  <si>
    <t>愛心人士支援計畫</t>
  </si>
  <si>
    <t>教育宣導</t>
  </si>
  <si>
    <t>境內送養費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</si>
</sst>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6">
    <font>
      <sz val="10.0"/>
      <color rgb="FF000000"/>
      <name val="Arial"/>
      <scheme val="minor"/>
    </font>
    <font>
      <color theme="1"/>
      <name val="Microsoft JhengHei"/>
    </font>
    <font>
      <color theme="1"/>
      <name val="Arial"/>
    </font>
    <font>
      <color theme="1"/>
      <name val="Arial"/>
      <scheme val="minor"/>
    </font>
    <font>
      <color theme="1"/>
      <name val="Times New Roman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4" numFmtId="3" xfId="0" applyAlignment="1" applyFont="1" applyNumberFormat="1">
      <alignment horizontal="right" readingOrder="0" vertical="top"/>
    </xf>
    <xf borderId="0" fillId="2" fontId="5" numFmtId="164" xfId="0" applyFill="1" applyFont="1" applyNumberFormat="1"/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top"/>
    </xf>
    <xf borderId="0" fillId="3" fontId="2" numFmtId="0" xfId="0" applyAlignment="1" applyFill="1" applyFont="1">
      <alignment readingOrder="0" vertical="bottom"/>
    </xf>
    <xf borderId="0" fillId="3" fontId="4" numFmtId="3" xfId="0" applyAlignment="1" applyFont="1" applyNumberFormat="1">
      <alignment horizontal="right" readingOrder="0" vertical="top"/>
    </xf>
    <xf borderId="0" fillId="3" fontId="5" numFmtId="164" xfId="0" applyFont="1" applyNumberFormat="1"/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9.38"/>
    <col customWidth="1" min="6" max="6" width="11.5"/>
    <col customWidth="1" min="7" max="7" width="9.88"/>
  </cols>
  <sheetData>
    <row r="1" ht="36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7</v>
      </c>
      <c r="B2" s="6" t="s">
        <v>8</v>
      </c>
      <c r="C2" s="7">
        <v>9.6977205E7</v>
      </c>
      <c r="D2" s="8">
        <f t="shared" ref="D2:D23" si="1">round(C2,-3)/10000</f>
        <v>9697.7</v>
      </c>
      <c r="E2" s="8">
        <v>9697.7</v>
      </c>
      <c r="F2" s="9">
        <v>1.0</v>
      </c>
      <c r="G2" s="9">
        <v>2.0</v>
      </c>
    </row>
    <row r="3">
      <c r="A3" s="5" t="s">
        <v>9</v>
      </c>
      <c r="B3" s="6" t="s">
        <v>8</v>
      </c>
      <c r="C3" s="7">
        <v>6219273.0</v>
      </c>
      <c r="D3" s="8">
        <f t="shared" si="1"/>
        <v>621.9</v>
      </c>
      <c r="E3" s="8">
        <v>621.9</v>
      </c>
      <c r="F3" s="9">
        <v>1.0</v>
      </c>
      <c r="G3" s="9">
        <v>2.0</v>
      </c>
    </row>
    <row r="4">
      <c r="A4" s="5" t="s">
        <v>10</v>
      </c>
      <c r="B4" s="6" t="s">
        <v>8</v>
      </c>
      <c r="C4" s="7">
        <v>583015.0</v>
      </c>
      <c r="D4" s="8">
        <f t="shared" si="1"/>
        <v>58.3</v>
      </c>
      <c r="E4" s="8">
        <v>58.3</v>
      </c>
      <c r="F4" s="9">
        <v>1.0</v>
      </c>
      <c r="G4" s="9">
        <v>2.0</v>
      </c>
    </row>
    <row r="5">
      <c r="A5" s="5" t="s">
        <v>11</v>
      </c>
      <c r="B5" s="10" t="s">
        <v>8</v>
      </c>
      <c r="C5" s="7">
        <v>39200.0</v>
      </c>
      <c r="D5" s="8">
        <f t="shared" si="1"/>
        <v>3.9</v>
      </c>
      <c r="E5" s="8">
        <v>3.9</v>
      </c>
      <c r="F5" s="9">
        <v>1.0</v>
      </c>
      <c r="G5" s="9">
        <v>2.0</v>
      </c>
    </row>
    <row r="6">
      <c r="A6" s="5" t="s">
        <v>12</v>
      </c>
      <c r="B6" s="10" t="s">
        <v>8</v>
      </c>
      <c r="C6" s="7">
        <v>31000.0</v>
      </c>
      <c r="D6" s="8">
        <f t="shared" si="1"/>
        <v>3.1</v>
      </c>
      <c r="E6" s="8">
        <v>3.1</v>
      </c>
      <c r="F6" s="9">
        <v>1.0</v>
      </c>
      <c r="G6" s="9">
        <v>2.0</v>
      </c>
    </row>
    <row r="7">
      <c r="A7" s="5" t="s">
        <v>13</v>
      </c>
      <c r="B7" s="10" t="s">
        <v>8</v>
      </c>
      <c r="C7" s="7">
        <v>1000.0</v>
      </c>
      <c r="D7" s="8">
        <f t="shared" si="1"/>
        <v>0.1</v>
      </c>
      <c r="E7" s="8">
        <v>0.1</v>
      </c>
      <c r="F7" s="9">
        <v>1.0</v>
      </c>
      <c r="G7" s="9">
        <v>2.0</v>
      </c>
    </row>
    <row r="8">
      <c r="A8" s="5" t="s">
        <v>14</v>
      </c>
      <c r="B8" s="10" t="s">
        <v>8</v>
      </c>
      <c r="C8" s="7">
        <v>1.0</v>
      </c>
      <c r="D8" s="8">
        <f t="shared" si="1"/>
        <v>0</v>
      </c>
      <c r="E8" s="8">
        <v>0.0</v>
      </c>
      <c r="F8" s="9">
        <v>1.0</v>
      </c>
      <c r="G8" s="9">
        <v>2.0</v>
      </c>
    </row>
    <row r="9">
      <c r="A9" s="11" t="s">
        <v>15</v>
      </c>
      <c r="B9" s="11" t="s">
        <v>8</v>
      </c>
      <c r="C9" s="12">
        <v>8257077.0</v>
      </c>
      <c r="D9" s="8">
        <f t="shared" si="1"/>
        <v>825.7</v>
      </c>
      <c r="E9" s="13">
        <v>825.7</v>
      </c>
      <c r="F9" s="14">
        <v>1.0</v>
      </c>
      <c r="G9" s="14">
        <v>2.0</v>
      </c>
    </row>
    <row r="10">
      <c r="A10" s="6" t="s">
        <v>8</v>
      </c>
      <c r="B10" s="15" t="s">
        <v>16</v>
      </c>
      <c r="C10" s="7">
        <v>7.610072E7</v>
      </c>
      <c r="D10" s="8">
        <f t="shared" si="1"/>
        <v>7610.1</v>
      </c>
      <c r="E10" s="8">
        <v>7610.1</v>
      </c>
      <c r="F10" s="9">
        <v>2.0</v>
      </c>
      <c r="G10" s="9">
        <v>3.0</v>
      </c>
    </row>
    <row r="11">
      <c r="A11" s="6" t="s">
        <v>8</v>
      </c>
      <c r="B11" s="15" t="s">
        <v>17</v>
      </c>
      <c r="C11" s="7">
        <v>2.1570128E7</v>
      </c>
      <c r="D11" s="8">
        <f t="shared" si="1"/>
        <v>2157</v>
      </c>
      <c r="E11" s="8">
        <v>2157.0</v>
      </c>
      <c r="F11" s="9">
        <v>2.0</v>
      </c>
      <c r="G11" s="9">
        <v>3.0</v>
      </c>
    </row>
    <row r="12">
      <c r="A12" s="6" t="s">
        <v>8</v>
      </c>
      <c r="B12" s="15" t="s">
        <v>18</v>
      </c>
      <c r="C12" s="7">
        <v>9336242.0</v>
      </c>
      <c r="D12" s="8">
        <f t="shared" si="1"/>
        <v>933.6</v>
      </c>
      <c r="E12" s="8">
        <v>933.6</v>
      </c>
      <c r="F12" s="9">
        <v>2.0</v>
      </c>
      <c r="G12" s="9">
        <v>3.0</v>
      </c>
    </row>
    <row r="13">
      <c r="A13" s="6" t="s">
        <v>8</v>
      </c>
      <c r="B13" s="15" t="s">
        <v>19</v>
      </c>
      <c r="C13" s="7">
        <v>2666214.0</v>
      </c>
      <c r="D13" s="8">
        <f t="shared" si="1"/>
        <v>266.6</v>
      </c>
      <c r="E13" s="8">
        <v>266.6</v>
      </c>
      <c r="F13" s="9">
        <v>2.0</v>
      </c>
      <c r="G13" s="9">
        <v>3.0</v>
      </c>
    </row>
    <row r="14">
      <c r="A14" s="6" t="s">
        <v>8</v>
      </c>
      <c r="B14" s="15" t="s">
        <v>20</v>
      </c>
      <c r="C14" s="7">
        <v>2434467.0</v>
      </c>
      <c r="D14" s="8">
        <f t="shared" si="1"/>
        <v>243.4</v>
      </c>
      <c r="E14" s="8">
        <v>243.4</v>
      </c>
      <c r="F14" s="9">
        <v>2.0</v>
      </c>
      <c r="G14" s="9">
        <v>3.0</v>
      </c>
    </row>
    <row r="15">
      <c r="A15" s="15" t="s">
        <v>16</v>
      </c>
      <c r="B15" s="15" t="s">
        <v>21</v>
      </c>
      <c r="C15" s="7">
        <v>6.5159545E7</v>
      </c>
      <c r="D15" s="8">
        <f t="shared" si="1"/>
        <v>6516</v>
      </c>
      <c r="E15" s="8">
        <v>6516.0</v>
      </c>
      <c r="F15" s="9">
        <v>3.0</v>
      </c>
      <c r="G15" s="9">
        <v>4.0</v>
      </c>
    </row>
    <row r="16">
      <c r="A16" s="15" t="s">
        <v>16</v>
      </c>
      <c r="B16" s="15" t="s">
        <v>22</v>
      </c>
      <c r="C16" s="16">
        <v>5640900.0</v>
      </c>
      <c r="D16" s="8">
        <f t="shared" si="1"/>
        <v>564.1</v>
      </c>
      <c r="E16" s="8">
        <v>564.1</v>
      </c>
      <c r="F16" s="9">
        <v>3.0</v>
      </c>
      <c r="G16" s="9">
        <v>4.0</v>
      </c>
    </row>
    <row r="17">
      <c r="A17" s="15" t="s">
        <v>16</v>
      </c>
      <c r="B17" s="15" t="s">
        <v>23</v>
      </c>
      <c r="C17" s="16">
        <v>3327459.0</v>
      </c>
      <c r="D17" s="8">
        <f t="shared" si="1"/>
        <v>332.7</v>
      </c>
      <c r="E17" s="8">
        <v>332.7</v>
      </c>
      <c r="F17" s="9">
        <v>3.0</v>
      </c>
      <c r="G17" s="9">
        <v>4.0</v>
      </c>
    </row>
    <row r="18">
      <c r="A18" s="15" t="s">
        <v>16</v>
      </c>
      <c r="B18" s="15" t="s">
        <v>24</v>
      </c>
      <c r="C18" s="16">
        <v>903634.0</v>
      </c>
      <c r="D18" s="8">
        <f t="shared" si="1"/>
        <v>90.4</v>
      </c>
      <c r="E18" s="8">
        <v>90.4</v>
      </c>
      <c r="F18" s="9">
        <v>3.0</v>
      </c>
      <c r="G18" s="9">
        <v>4.0</v>
      </c>
    </row>
    <row r="19">
      <c r="A19" s="15" t="s">
        <v>16</v>
      </c>
      <c r="B19" s="15" t="s">
        <v>25</v>
      </c>
      <c r="C19" s="16">
        <v>525789.0</v>
      </c>
      <c r="D19" s="8">
        <f t="shared" si="1"/>
        <v>52.6</v>
      </c>
      <c r="E19" s="8">
        <v>52.6</v>
      </c>
      <c r="F19" s="9">
        <v>3.0</v>
      </c>
      <c r="G19" s="9">
        <v>4.0</v>
      </c>
    </row>
    <row r="20">
      <c r="A20" s="15" t="s">
        <v>16</v>
      </c>
      <c r="B20" s="15" t="s">
        <v>26</v>
      </c>
      <c r="C20" s="7">
        <v>200324.0</v>
      </c>
      <c r="D20" s="8">
        <f t="shared" si="1"/>
        <v>20</v>
      </c>
      <c r="E20" s="8">
        <v>20.0</v>
      </c>
      <c r="F20" s="9">
        <v>3.0</v>
      </c>
      <c r="G20" s="9">
        <v>4.0</v>
      </c>
    </row>
    <row r="21">
      <c r="A21" s="15" t="s">
        <v>16</v>
      </c>
      <c r="B21" s="15" t="s">
        <v>27</v>
      </c>
      <c r="C21" s="7">
        <v>136362.0</v>
      </c>
      <c r="D21" s="8">
        <f t="shared" si="1"/>
        <v>13.6</v>
      </c>
      <c r="E21" s="8">
        <v>13.6</v>
      </c>
      <c r="F21" s="9">
        <v>3.0</v>
      </c>
      <c r="G21" s="9">
        <v>4.0</v>
      </c>
    </row>
    <row r="22">
      <c r="A22" s="15" t="s">
        <v>16</v>
      </c>
      <c r="B22" s="15" t="s">
        <v>28</v>
      </c>
      <c r="C22" s="7">
        <v>105061.0</v>
      </c>
      <c r="D22" s="8">
        <f t="shared" si="1"/>
        <v>10.5</v>
      </c>
      <c r="E22" s="8">
        <v>10.5</v>
      </c>
      <c r="F22" s="9">
        <v>3.0</v>
      </c>
      <c r="G22" s="9">
        <v>4.0</v>
      </c>
    </row>
    <row r="23">
      <c r="A23" s="15" t="s">
        <v>16</v>
      </c>
      <c r="B23" s="15" t="s">
        <v>29</v>
      </c>
      <c r="C23" s="16">
        <v>101646.0</v>
      </c>
      <c r="D23" s="8">
        <f t="shared" si="1"/>
        <v>10.2</v>
      </c>
      <c r="E23" s="8">
        <v>10.2</v>
      </c>
      <c r="F23" s="9">
        <v>3.0</v>
      </c>
      <c r="G23" s="9">
        <v>4.0</v>
      </c>
    </row>
    <row r="24">
      <c r="A24" s="17"/>
      <c r="B24" s="17"/>
      <c r="C24" s="16"/>
      <c r="D24" s="16"/>
      <c r="E24" s="16"/>
      <c r="F24" s="9"/>
      <c r="G24" s="9"/>
    </row>
    <row r="25">
      <c r="A25" s="17"/>
      <c r="B25" s="17"/>
      <c r="C25" s="16"/>
      <c r="D25" s="16"/>
      <c r="E25" s="16"/>
      <c r="F25" s="9"/>
      <c r="G25" s="9"/>
    </row>
    <row r="26">
      <c r="A26" s="17"/>
      <c r="B26" s="17"/>
      <c r="C26" s="16"/>
      <c r="D26" s="16"/>
      <c r="E26" s="16"/>
      <c r="F26" s="9"/>
      <c r="G26" s="9"/>
    </row>
    <row r="27">
      <c r="A27" s="17"/>
      <c r="B27" s="17"/>
      <c r="C27" s="16"/>
      <c r="D27" s="16"/>
      <c r="E27" s="16"/>
      <c r="F27" s="9"/>
      <c r="G27" s="9"/>
    </row>
    <row r="28">
      <c r="A28" s="17"/>
      <c r="B28" s="15"/>
      <c r="C28" s="16"/>
      <c r="D28" s="16"/>
      <c r="E28" s="16"/>
      <c r="F28" s="9"/>
      <c r="G28" s="9"/>
    </row>
    <row r="29">
      <c r="A29" s="17"/>
      <c r="B29" s="17"/>
      <c r="C29" s="16"/>
      <c r="D29" s="16"/>
      <c r="E29" s="16"/>
      <c r="F29" s="9"/>
      <c r="G29" s="9"/>
    </row>
    <row r="30">
      <c r="A30" s="17"/>
      <c r="B30" s="17"/>
      <c r="C30" s="16"/>
      <c r="D30" s="16"/>
      <c r="E30" s="16"/>
      <c r="F30" s="9"/>
      <c r="G30" s="9"/>
    </row>
    <row r="31">
      <c r="A31" s="17"/>
      <c r="B31" s="17"/>
      <c r="C31" s="16"/>
      <c r="D31" s="16"/>
      <c r="E31" s="16"/>
      <c r="F31" s="9"/>
      <c r="G31" s="9"/>
    </row>
    <row r="32">
      <c r="A32" s="17"/>
      <c r="B32" s="17"/>
      <c r="C32" s="16"/>
      <c r="D32" s="16"/>
      <c r="E32" s="16"/>
      <c r="F32" s="9"/>
      <c r="G32" s="9"/>
    </row>
    <row r="33">
      <c r="A33" s="17"/>
      <c r="B33" s="17"/>
      <c r="C33" s="16"/>
      <c r="D33" s="16"/>
      <c r="E33" s="16"/>
      <c r="F33" s="9"/>
      <c r="G33" s="9"/>
    </row>
    <row r="34">
      <c r="A34" s="17"/>
      <c r="B34" s="17"/>
      <c r="C34" s="16"/>
      <c r="D34" s="16"/>
      <c r="E34" s="16"/>
      <c r="F34" s="9"/>
      <c r="G34" s="9"/>
    </row>
    <row r="35">
      <c r="A35" s="17"/>
      <c r="B35" s="17"/>
      <c r="C35" s="16"/>
      <c r="D35" s="16"/>
      <c r="E35" s="16"/>
      <c r="F35" s="9"/>
      <c r="G35" s="9"/>
    </row>
    <row r="36">
      <c r="A36" s="17"/>
      <c r="B36" s="17"/>
      <c r="C36" s="16"/>
      <c r="D36" s="16"/>
      <c r="E36" s="16"/>
      <c r="F36" s="9"/>
      <c r="G36" s="9"/>
    </row>
    <row r="37">
      <c r="A37" s="17"/>
      <c r="B37" s="17"/>
      <c r="C37" s="18"/>
      <c r="D37" s="18"/>
      <c r="E37" s="18"/>
      <c r="F37" s="9"/>
      <c r="G37" s="9"/>
    </row>
    <row r="38">
      <c r="A38" s="17"/>
      <c r="B38" s="17"/>
      <c r="C38" s="18"/>
      <c r="D38" s="18"/>
      <c r="E38" s="18"/>
      <c r="F38" s="9"/>
      <c r="G38" s="9"/>
    </row>
    <row r="39">
      <c r="A39" s="17"/>
      <c r="B39" s="17"/>
      <c r="C39" s="18"/>
      <c r="D39" s="18"/>
      <c r="E39" s="18"/>
      <c r="F39" s="9"/>
      <c r="G39" s="9"/>
    </row>
    <row r="40">
      <c r="A40" s="17"/>
      <c r="B40" s="17"/>
      <c r="C40" s="18"/>
      <c r="D40" s="18"/>
      <c r="E40" s="18"/>
      <c r="F40" s="9"/>
      <c r="G40" s="9"/>
    </row>
  </sheetData>
  <drawing r:id="rId1"/>
</worksheet>
</file>